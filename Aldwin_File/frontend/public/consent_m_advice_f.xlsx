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4C752DE-945B-43B1-93E9-6E3730C35A76}" xr6:coauthVersionLast="47" xr6:coauthVersionMax="47" xr10:uidLastSave="{00000000-0000-0000-0000-000000000000}"/>
  <bookViews>
    <workbookView xWindow="-120" yWindow="-120" windowWidth="20730" windowHeight="11760" xr2:uid="{650D8989-0453-4B5D-8A64-C60EAE3FC210}"/>
  </bookViews>
  <sheets>
    <sheet name="CONSENT M-ADVICE F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4" i="1" l="1"/>
  <c r="Z53" i="1"/>
  <c r="T53" i="1"/>
  <c r="G51" i="1"/>
  <c r="Q57" i="1" s="1"/>
  <c r="AA47" i="1"/>
  <c r="T47" i="1"/>
  <c r="J45" i="1"/>
  <c r="C45" i="1"/>
  <c r="Q28" i="1"/>
  <c r="T25" i="1"/>
  <c r="B19" i="1"/>
  <c r="R18" i="1"/>
  <c r="I18" i="1"/>
  <c r="I15" i="1"/>
  <c r="Z14" i="1"/>
  <c r="AC17" i="1" s="1"/>
  <c r="Q14" i="1"/>
  <c r="W17" i="1" s="1"/>
  <c r="A14" i="1"/>
  <c r="G13" i="1"/>
  <c r="L12" i="1"/>
  <c r="AB24" i="1" s="1"/>
  <c r="D12" i="1"/>
  <c r="T24" i="1" s="1"/>
</calcChain>
</file>

<file path=xl/sharedStrings.xml><?xml version="1.0" encoding="utf-8"?>
<sst xmlns="http://schemas.openxmlformats.org/spreadsheetml/2006/main" count="57" uniqueCount="48">
  <si>
    <t>Municipal Form No. 92</t>
  </si>
  <si>
    <t>Republic of the Philippines</t>
  </si>
  <si>
    <t>Province of Nueva Vizcaya</t>
  </si>
  <si>
    <t>Municipality of Solano</t>
  </si>
  <si>
    <t>CONSENT TO MARRIAGE OF A PERSON UNDERAGE</t>
  </si>
  <si>
    <t>For MALE</t>
  </si>
  <si>
    <t>Municipality</t>
  </si>
  <si>
    <t>:</t>
  </si>
  <si>
    <t>SOLANO</t>
  </si>
  <si>
    <t>Province</t>
  </si>
  <si>
    <t>NUEVA VIZCAYA</t>
  </si>
  <si>
    <t>I/We</t>
  </si>
  <si>
    <t>and</t>
  </si>
  <si>
    <t>n/a</t>
  </si>
  <si>
    <t xml:space="preserve">resident/s of </t>
  </si>
  <si>
    <t>of</t>
  </si>
  <si>
    <t xml:space="preserve">who is a resident of </t>
  </si>
  <si>
    <t>,</t>
  </si>
  <si>
    <t xml:space="preserve"> single, eighteen and</t>
  </si>
  <si>
    <t xml:space="preserve">less than twenty one years of age, after being duly sworn to in accordance with law do hereby state </t>
  </si>
  <si>
    <t>that I/we am/are freely giving my/our consent to my/our child/ward</t>
  </si>
  <si>
    <t>who is marrying with</t>
  </si>
  <si>
    <t xml:space="preserve">who is presently residing </t>
  </si>
  <si>
    <t>in</t>
  </si>
  <si>
    <t xml:space="preserve">. </t>
  </si>
  <si>
    <t>And that I/we know of no legal impediment</t>
  </si>
  <si>
    <t xml:space="preserve">to such marriage and swear to the correctness of the lawful age of my/our child/ward as stated in </t>
  </si>
  <si>
    <t>their application for their marriage license.</t>
  </si>
  <si>
    <t>4Ps ID 025013021-5666-00073</t>
  </si>
  <si>
    <t>Subscribed and sworn to before me this</t>
  </si>
  <si>
    <t>at Solano, Nueva Vizcaya,</t>
  </si>
  <si>
    <t>Philippines.</t>
  </si>
  <si>
    <t>OLIVER V. CATAHINA</t>
  </si>
  <si>
    <t>Municipal Civil Registrar</t>
  </si>
  <si>
    <t>Exempt from documentary stamp tax</t>
  </si>
  <si>
    <t>Municipal Form No. 03 (Form No. 9)</t>
  </si>
  <si>
    <t>ADVICE UPON INTENDED MARRIAGE</t>
  </si>
  <si>
    <t>For FEMALE</t>
  </si>
  <si>
    <t>To :</t>
  </si>
  <si>
    <t>My/our advice upon your intended marriage with</t>
  </si>
  <si>
    <t xml:space="preserve">as having been asked by you, and knowing that there is no legal impediment to this marriage, </t>
  </si>
  <si>
    <t>therefore I/we hereby give you this advice to marry him legally.</t>
  </si>
  <si>
    <t>Issued this</t>
  </si>
  <si>
    <t xml:space="preserve">Issued this </t>
  </si>
  <si>
    <t>at Solano, Nueva Vizcaya, Philippines</t>
  </si>
  <si>
    <t>Solano LGU Employee No. 1999081603</t>
  </si>
  <si>
    <t>at Solano, Nueva</t>
  </si>
  <si>
    <t>Vizcaya, Philippines.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</si>
</sst>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0" x14ac:knownFonts="1">
    <font>
      <sz val="11"/>
      <color theme="1"/>
      <name val="Aptos Narrow"/>
      <family val="2"/>
      <scheme val="minor"/>
    </font>
    <font>
      <sz val="9"/>
      <name val="Arial"/>
      <family val="2"/>
    </font>
    <font>
      <sz val="11"/>
      <name val="Arial"/>
      <family val="2"/>
    </font>
    <font>
      <b/>
      <sz val="12"/>
      <name val="Bookman Old Style"/>
      <family val="1"/>
    </font>
    <font>
      <b/>
      <sz val="16"/>
      <name val="Rockwell Condensed"/>
      <family val="1"/>
    </font>
    <font>
      <sz val="12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i/>
      <sz val="11"/>
      <name val="Arial"/>
      <family val="2"/>
    </font>
    <font>
      <b/>
      <sz val="11"/>
      <name val="Aptos Narrow"/>
      <family val="2"/>
      <scheme val="minor"/>
    </font>
    <font>
      <b/>
      <u/>
      <sz val="12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i/>
      <sz val="10"/>
      <name val="Arial"/>
      <family val="2"/>
    </font>
    <font>
      <b/>
      <i/>
      <sz val="9"/>
      <name val="Arial"/>
      <family val="2"/>
    </font>
    <font>
      <sz val="18"/>
      <name val="Rockwell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left"/>
    </xf>
    <xf numFmtId="0" fontId="9" fillId="0" borderId="1" xfId="0" applyFont="1" applyBorder="1" applyAlignment="1">
      <alignment horizontal="right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12" fillId="0" borderId="1" xfId="0" applyFont="1" applyBorder="1" applyAlignment="1">
      <alignment horizontal="center"/>
    </xf>
    <xf numFmtId="0" fontId="12" fillId="0" borderId="0" xfId="0" applyFont="1"/>
    <xf numFmtId="0" fontId="2" fillId="0" borderId="1" xfId="0" applyFont="1" applyBorder="1" applyAlignment="1">
      <alignment horizontal="center"/>
    </xf>
    <xf numFmtId="0" fontId="9" fillId="0" borderId="2" xfId="0" applyFont="1" applyBorder="1" applyAlignment="1">
      <alignment horizontal="right"/>
    </xf>
    <xf numFmtId="0" fontId="9" fillId="0" borderId="2" xfId="0" applyFont="1" applyBorder="1" applyAlignment="1">
      <alignment horizontal="left"/>
    </xf>
    <xf numFmtId="0" fontId="13" fillId="0" borderId="1" xfId="0" applyFont="1" applyBorder="1" applyAlignment="1">
      <alignment horizontal="right"/>
    </xf>
    <xf numFmtId="0" fontId="13" fillId="0" borderId="1" xfId="0" applyFont="1" applyBorder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5" fillId="0" borderId="0" xfId="0" quotePrefix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7" fillId="0" borderId="4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0" fontId="0" fillId="0" borderId="4" xfId="0" applyBorder="1"/>
    <xf numFmtId="0" fontId="17" fillId="0" borderId="0" xfId="0" applyFont="1"/>
    <xf numFmtId="0" fontId="5" fillId="0" borderId="0" xfId="0" applyFont="1" applyAlignment="1">
      <alignment horizontal="center"/>
    </xf>
    <xf numFmtId="0" fontId="18" fillId="0" borderId="0" xfId="0" applyFont="1"/>
    <xf numFmtId="0" fontId="19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 indent="6"/>
    </xf>
    <xf numFmtId="0" fontId="8" fillId="0" borderId="0" xfId="0" applyFont="1" applyAlignment="1">
      <alignment horizontal="center"/>
    </xf>
    <xf numFmtId="17" fontId="8" fillId="0" borderId="0" xfId="0" applyNumberFormat="1" applyFont="1"/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14" fontId="15" fillId="0" borderId="0" xfId="0" applyNumberFormat="1" applyFont="1"/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25</xdr:row>
      <xdr:rowOff>0</xdr:rowOff>
    </xdr:from>
    <xdr:to>
      <xdr:col>24</xdr:col>
      <xdr:colOff>161925</xdr:colOff>
      <xdr:row>25</xdr:row>
      <xdr:rowOff>0</xdr:rowOff>
    </xdr:to>
    <xdr:sp macro="" textlink="">
      <xdr:nvSpPr>
        <xdr:cNvPr id="2" name="WordArt 2">
          <a:extLst>
            <a:ext uri="{FF2B5EF4-FFF2-40B4-BE49-F238E27FC236}">
              <a16:creationId xmlns:a16="http://schemas.microsoft.com/office/drawing/2014/main" id="{340A385F-AF16-45C9-8332-BFA24252BB72}"/>
            </a:ext>
          </a:extLst>
        </xdr:cNvPr>
        <xdr:cNvSpPr>
          <a:spLocks noChangeArrowheads="1" noChangeShapeType="1"/>
        </xdr:cNvSpPr>
      </xdr:nvSpPr>
      <xdr:spPr bwMode="auto">
        <a:xfrm>
          <a:off x="1104900" y="4667250"/>
          <a:ext cx="34004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ADVICE UPON INTENDED MARRIAGE</a:t>
          </a:r>
        </a:p>
      </xdr:txBody>
    </xdr:sp>
    <xdr:clientData/>
  </xdr:twoCellAnchor>
  <xdr:twoCellAnchor editAs="oneCell">
    <xdr:from>
      <xdr:col>27</xdr:col>
      <xdr:colOff>133350</xdr:colOff>
      <xdr:row>35</xdr:row>
      <xdr:rowOff>28575</xdr:rowOff>
    </xdr:from>
    <xdr:to>
      <xdr:col>32</xdr:col>
      <xdr:colOff>142875</xdr:colOff>
      <xdr:row>39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7453F4-B51B-442D-8D25-F70B9F5B8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9675" y="6600825"/>
          <a:ext cx="914400" cy="914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ownloads\marriage_template.xlsx" TargetMode="External"/><Relationship Id="rId1" Type="http://schemas.openxmlformats.org/officeDocument/2006/relationships/externalLinkPath" Target="marriage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LICATION"/>
      <sheetName val="CONSENT F"/>
      <sheetName val="CONSENT M"/>
      <sheetName val="CONSENT M&amp;F"/>
      <sheetName val="ADVICE M"/>
      <sheetName val="ADVICE F"/>
      <sheetName val="ADVICE M&amp;F"/>
      <sheetName val="ADVICE M-CONSENT F"/>
      <sheetName val="CONSENT M-ADVICE F"/>
      <sheetName val="Notice"/>
      <sheetName val="AddressBACKnotice"/>
      <sheetName val="EnvelopeAddress"/>
    </sheetNames>
    <sheetDataSet>
      <sheetData sheetId="0">
        <row r="8">
          <cell r="B8" t="str">
            <v>RAYMARK</v>
          </cell>
          <cell r="U8" t="str">
            <v>AYANNA MAE</v>
          </cell>
        </row>
        <row r="10">
          <cell r="B10" t="str">
            <v>RAMOS</v>
          </cell>
          <cell r="U10" t="str">
            <v>ABIERA</v>
          </cell>
        </row>
        <row r="15">
          <cell r="B15" t="str">
            <v>Brgy. Osmeña, Solano, Nueva Vizcaya</v>
          </cell>
          <cell r="U15" t="str">
            <v>Brgy. Pob. South, Solano, Nueva Vizcaya</v>
          </cell>
        </row>
        <row r="30">
          <cell r="B30" t="str">
            <v>MARICEL</v>
          </cell>
          <cell r="L30" t="str">
            <v>RAMOS</v>
          </cell>
          <cell r="U30" t="str">
            <v>ANNA LIZA</v>
          </cell>
          <cell r="AD30" t="str">
            <v>ABIERA</v>
          </cell>
        </row>
        <row r="31">
          <cell r="B31" t="str">
            <v>Mother</v>
          </cell>
          <cell r="U31" t="str">
            <v>Mother</v>
          </cell>
        </row>
        <row r="34">
          <cell r="B34" t="str">
            <v>Brgy. Osmeña, Solano, Nueva Vizcaya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6A029-E609-4EA7-B052-AB80E516B5F2}">
  <dimension ref="A1:AJ72"/>
  <sheetViews>
    <sheetView tabSelected="1" workbookViewId="0">
      <selection activeCell="AQ15" sqref="AQ15"/>
    </sheetView>
  </sheetViews>
  <sheetFormatPr defaultRowHeight="15" x14ac:dyDescent="0.25"/>
  <cols>
    <col min="1" max="54" width="2.7109375" customWidth="1"/>
    <col min="55" max="55" width="3.140625" customWidth="1"/>
    <col min="56" max="81" width="2.7109375" customWidth="1"/>
  </cols>
  <sheetData>
    <row r="1" spans="1:36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AI1" s="1"/>
    </row>
    <row r="2" spans="1:36" ht="15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6" ht="15" customHeight="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6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36" ht="15" customHeight="1" x14ac:dyDescent="0.25">
      <c r="AI5" s="1"/>
    </row>
    <row r="6" spans="1:36" s="6" customFormat="1" ht="15" customHeight="1" x14ac:dyDescent="0.2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5"/>
    </row>
    <row r="7" spans="1:36" s="6" customFormat="1" ht="8.1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1"/>
      <c r="AJ7" s="8"/>
    </row>
    <row r="8" spans="1:36" s="6" customFormat="1" ht="15" customHeight="1" x14ac:dyDescent="0.2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6" s="6" customFormat="1" ht="15" customHeight="1" x14ac:dyDescent="0.25">
      <c r="AF9"/>
      <c r="AG9"/>
      <c r="AH9"/>
      <c r="AI9" s="1"/>
    </row>
    <row r="10" spans="1:36" s="6" customFormat="1" ht="15" customHeight="1" x14ac:dyDescent="0.25">
      <c r="A10" s="9" t="s">
        <v>6</v>
      </c>
      <c r="B10" s="9"/>
      <c r="C10" s="9"/>
      <c r="D10" s="9"/>
      <c r="E10" s="9"/>
      <c r="F10" s="6" t="s">
        <v>7</v>
      </c>
      <c r="G10" s="10" t="s">
        <v>8</v>
      </c>
      <c r="Q10" s="9" t="s">
        <v>9</v>
      </c>
      <c r="R10" s="9"/>
      <c r="S10" s="9"/>
      <c r="T10" s="9"/>
      <c r="U10" s="6" t="s">
        <v>7</v>
      </c>
      <c r="V10" s="10" t="s">
        <v>10</v>
      </c>
      <c r="AF10"/>
      <c r="AG10"/>
      <c r="AH10"/>
      <c r="AI10" s="1"/>
    </row>
    <row r="11" spans="1:36" s="6" customFormat="1" ht="15" customHeight="1" x14ac:dyDescent="0.25">
      <c r="AF11"/>
      <c r="AG11"/>
      <c r="AH11"/>
      <c r="AI11" s="1"/>
    </row>
    <row r="12" spans="1:36" s="6" customFormat="1" ht="15" customHeight="1" x14ac:dyDescent="0.25">
      <c r="B12" s="11" t="s">
        <v>11</v>
      </c>
      <c r="C12"/>
      <c r="D12" s="12" t="str">
        <f>+[1]APPLICATION!B30</f>
        <v>MARICEL</v>
      </c>
      <c r="E12" s="12"/>
      <c r="F12" s="12"/>
      <c r="G12" s="12"/>
      <c r="H12" s="12"/>
      <c r="I12" s="12"/>
      <c r="J12" s="12"/>
      <c r="K12" s="12"/>
      <c r="L12" s="13" t="str">
        <f>+[1]APPLICATION!L30</f>
        <v>RAMOS</v>
      </c>
      <c r="M12" s="13"/>
      <c r="N12" s="13"/>
      <c r="O12" s="13"/>
      <c r="P12" s="13"/>
      <c r="Q12" s="13"/>
      <c r="R12" s="13"/>
      <c r="S12" s="2" t="s">
        <v>12</v>
      </c>
      <c r="T12" s="2"/>
      <c r="U12" s="14" t="s">
        <v>13</v>
      </c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5"/>
    </row>
    <row r="13" spans="1:36" s="6" customFormat="1" ht="15" customHeight="1" x14ac:dyDescent="0.25">
      <c r="A13" s="6" t="s">
        <v>14</v>
      </c>
      <c r="B13" s="11"/>
      <c r="C13"/>
      <c r="D13" s="16"/>
      <c r="E13"/>
      <c r="F13" s="17"/>
      <c r="G13" s="18" t="str">
        <f>+[1]APPLICATION!B34</f>
        <v>Brgy. Osmeña, Solano, Nueva Vizcaya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9"/>
    </row>
    <row r="14" spans="1:36" s="6" customFormat="1" ht="15" customHeight="1" x14ac:dyDescent="0.25">
      <c r="A14" s="20" t="str">
        <f>+[1]APPLICATION!B31</f>
        <v>Mother</v>
      </c>
      <c r="B14" s="20"/>
      <c r="C14" s="20"/>
      <c r="D14" s="20"/>
      <c r="E14" s="20"/>
      <c r="F14" s="20"/>
      <c r="G14" s="2" t="s">
        <v>12</v>
      </c>
      <c r="H14" s="2"/>
      <c r="I14" s="20" t="s">
        <v>13</v>
      </c>
      <c r="J14" s="20"/>
      <c r="K14" s="20"/>
      <c r="L14" s="20"/>
      <c r="M14" s="20"/>
      <c r="N14" s="20"/>
      <c r="O14" s="2" t="s">
        <v>15</v>
      </c>
      <c r="P14" s="2"/>
      <c r="Q14" s="21" t="str">
        <f>+[1]APPLICATION!B8</f>
        <v>RAYMARK</v>
      </c>
      <c r="R14" s="21"/>
      <c r="S14" s="21"/>
      <c r="T14" s="21"/>
      <c r="U14" s="21"/>
      <c r="V14" s="21"/>
      <c r="W14" s="21"/>
      <c r="X14" s="21"/>
      <c r="Y14" s="21"/>
      <c r="Z14" s="22" t="str">
        <f>+[1]APPLICATION!B10</f>
        <v>RAMOS</v>
      </c>
      <c r="AA14" s="22"/>
      <c r="AB14" s="22"/>
      <c r="AC14" s="22"/>
      <c r="AD14" s="22"/>
      <c r="AE14" s="22"/>
      <c r="AF14" s="22"/>
      <c r="AG14" s="22"/>
      <c r="AH14" s="22"/>
      <c r="AI14" s="15"/>
    </row>
    <row r="15" spans="1:36" s="6" customFormat="1" ht="15" customHeight="1" x14ac:dyDescent="0.25">
      <c r="A15" s="6" t="s">
        <v>16</v>
      </c>
      <c r="E15"/>
      <c r="F15" s="19"/>
      <c r="G15"/>
      <c r="H15"/>
      <c r="I15" s="18" t="str">
        <f>+[1]APPLICATION!B15</f>
        <v>Brgy. Osmeña, Solano, Nueva Vizcaya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9" t="s">
        <v>17</v>
      </c>
      <c r="AB15" s="6" t="s">
        <v>18</v>
      </c>
      <c r="AF15"/>
      <c r="AG15"/>
      <c r="AH15"/>
      <c r="AI15" s="1"/>
    </row>
    <row r="16" spans="1:36" ht="15" customHeight="1" x14ac:dyDescent="0.25">
      <c r="A16" s="6" t="s">
        <v>19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I16" s="1"/>
    </row>
    <row r="17" spans="1:36" ht="15" customHeight="1" x14ac:dyDescent="0.25">
      <c r="A17" s="6" t="s">
        <v>20</v>
      </c>
      <c r="B17" s="6"/>
      <c r="C17" s="6"/>
      <c r="D17" s="6"/>
      <c r="E17" s="6"/>
      <c r="F17" s="6"/>
      <c r="G17" s="6"/>
      <c r="H17" s="6"/>
      <c r="I17" s="6"/>
      <c r="J17" s="6"/>
      <c r="N17" s="15"/>
      <c r="O17" s="15"/>
      <c r="P17" s="15"/>
      <c r="Q17" s="15"/>
      <c r="R17" s="15"/>
      <c r="S17" s="15"/>
      <c r="T17" s="15"/>
      <c r="U17" s="15"/>
      <c r="W17" s="23" t="str">
        <f>+Q14</f>
        <v>RAYMARK</v>
      </c>
      <c r="X17" s="23"/>
      <c r="Y17" s="23"/>
      <c r="Z17" s="23"/>
      <c r="AA17" s="23"/>
      <c r="AB17" s="23"/>
      <c r="AC17" s="24" t="str">
        <f>+Z14</f>
        <v>RAMOS</v>
      </c>
      <c r="AD17" s="24"/>
      <c r="AE17" s="24"/>
      <c r="AF17" s="24"/>
      <c r="AG17" s="24"/>
      <c r="AH17" s="24"/>
      <c r="AI17" s="25"/>
    </row>
    <row r="18" spans="1:36" ht="15" customHeight="1" x14ac:dyDescent="0.25">
      <c r="A18" s="6" t="s">
        <v>21</v>
      </c>
      <c r="B18" s="6"/>
      <c r="C18" s="6"/>
      <c r="D18" s="6"/>
      <c r="E18" s="6"/>
      <c r="F18" s="6"/>
      <c r="G18" s="6"/>
      <c r="H18" s="6"/>
      <c r="I18" s="12" t="str">
        <f>+[1]APPLICATION!U8</f>
        <v>AYANNA MAE</v>
      </c>
      <c r="J18" s="12"/>
      <c r="K18" s="12"/>
      <c r="L18" s="12"/>
      <c r="M18" s="12"/>
      <c r="N18" s="12"/>
      <c r="O18" s="12"/>
      <c r="P18" s="12"/>
      <c r="Q18" s="12"/>
      <c r="R18" s="13" t="str">
        <f>+[1]APPLICATION!U10</f>
        <v>ABIERA</v>
      </c>
      <c r="S18" s="13"/>
      <c r="T18" s="13"/>
      <c r="U18" s="13"/>
      <c r="V18" s="13"/>
      <c r="W18" s="13"/>
      <c r="X18" s="13"/>
      <c r="Y18" s="13"/>
      <c r="Z18" s="11" t="s">
        <v>22</v>
      </c>
      <c r="AB18" s="6"/>
      <c r="AC18" s="6"/>
      <c r="AD18" s="6"/>
      <c r="AE18" s="6"/>
      <c r="AI18" s="1"/>
    </row>
    <row r="19" spans="1:36" ht="15" customHeight="1" x14ac:dyDescent="0.25">
      <c r="A19" s="6" t="s">
        <v>23</v>
      </c>
      <c r="B19" s="18" t="str">
        <f>+[1]APPLICATION!U15</f>
        <v>Brgy. Pob. South, Solano, Nueva Vizcaya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9" t="s">
        <v>24</v>
      </c>
      <c r="T19" s="6" t="s">
        <v>25</v>
      </c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"/>
    </row>
    <row r="20" spans="1:36" ht="15" customHeight="1" x14ac:dyDescent="0.25">
      <c r="A20" s="6" t="s">
        <v>26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I20" s="1"/>
    </row>
    <row r="21" spans="1:36" ht="15" customHeight="1" x14ac:dyDescent="0.25">
      <c r="A21" s="6" t="s">
        <v>27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I21" s="1"/>
    </row>
    <row r="22" spans="1:36" ht="1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I22" s="1"/>
    </row>
    <row r="23" spans="1:36" ht="1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I23" s="1"/>
    </row>
    <row r="24" spans="1:36" ht="1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8"/>
      <c r="N24" s="8"/>
      <c r="O24" s="8"/>
      <c r="P24" s="8"/>
      <c r="R24" s="8"/>
      <c r="S24" s="8"/>
      <c r="T24" s="12" t="str">
        <f>+D12</f>
        <v>MARICEL</v>
      </c>
      <c r="U24" s="12"/>
      <c r="V24" s="12"/>
      <c r="W24" s="12"/>
      <c r="X24" s="12"/>
      <c r="Y24" s="12"/>
      <c r="Z24" s="12"/>
      <c r="AA24" s="12"/>
      <c r="AB24" s="13" t="str">
        <f>+L12</f>
        <v>RAMOS</v>
      </c>
      <c r="AC24" s="13"/>
      <c r="AD24" s="13"/>
      <c r="AE24" s="13"/>
      <c r="AF24" s="13"/>
      <c r="AG24" s="13"/>
      <c r="AH24" s="13"/>
      <c r="AI24" s="1"/>
      <c r="AJ24" s="26"/>
    </row>
    <row r="25" spans="1:36" ht="15" customHeight="1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T25" s="28" t="str">
        <f>+A14</f>
        <v>Mother</v>
      </c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1"/>
      <c r="AJ25" s="7"/>
    </row>
    <row r="26" spans="1:36" ht="15" customHeight="1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R26" s="30"/>
      <c r="S26" s="30"/>
      <c r="T26" s="29" t="s">
        <v>28</v>
      </c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1"/>
    </row>
    <row r="27" spans="1:36" ht="15" customHeight="1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2"/>
      <c r="M27" s="31"/>
      <c r="N27" s="31"/>
      <c r="O27" s="31"/>
      <c r="P27" s="31"/>
      <c r="Q27" s="31"/>
      <c r="R27" s="31"/>
      <c r="S27" s="31"/>
      <c r="T27" s="31"/>
      <c r="U27" s="31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I27" s="1"/>
    </row>
    <row r="28" spans="1:36" s="6" customFormat="1" ht="15" customHeight="1" x14ac:dyDescent="0.25">
      <c r="A28" s="30"/>
      <c r="B28" s="30"/>
      <c r="C28" s="6" t="s">
        <v>29</v>
      </c>
      <c r="D28" s="30"/>
      <c r="E28" s="30"/>
      <c r="F28" s="30"/>
      <c r="G28" s="33"/>
      <c r="H28" s="30"/>
      <c r="I28" s="30"/>
      <c r="J28" s="30"/>
      <c r="K28" s="30"/>
      <c r="L28" s="30"/>
      <c r="M28" s="30"/>
      <c r="N28" s="30"/>
      <c r="O28" s="30"/>
      <c r="P28" s="30"/>
      <c r="Q28" s="34">
        <f ca="1">TODAY()</f>
        <v>46061</v>
      </c>
      <c r="R28" s="34"/>
      <c r="S28" s="34"/>
      <c r="T28" s="34"/>
      <c r="U28" s="34"/>
      <c r="V28" s="34"/>
      <c r="W28" s="34"/>
      <c r="X28" s="34"/>
      <c r="Y28" s="6" t="s">
        <v>30</v>
      </c>
      <c r="Z28" s="30"/>
      <c r="AA28"/>
      <c r="AB28" s="30"/>
      <c r="AD28" s="7"/>
      <c r="AE28" s="30"/>
      <c r="AF28"/>
      <c r="AG28"/>
      <c r="AH28"/>
      <c r="AI28" s="1"/>
    </row>
    <row r="29" spans="1:36" s="6" customFormat="1" ht="15" customHeight="1" x14ac:dyDescent="0.25">
      <c r="A29" s="6" t="s">
        <v>31</v>
      </c>
      <c r="B29" s="30"/>
      <c r="C29" s="30"/>
      <c r="D29" s="30"/>
      <c r="E29" s="30"/>
      <c r="F29" s="30"/>
      <c r="G29" s="33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/>
      <c r="AG29"/>
      <c r="AH29"/>
      <c r="AI29" s="1"/>
    </row>
    <row r="30" spans="1:36" s="6" customFormat="1" ht="15" customHeight="1" x14ac:dyDescent="0.25">
      <c r="A30" s="30"/>
      <c r="B30" s="30"/>
      <c r="C30" s="30"/>
      <c r="D30" s="30"/>
      <c r="E30" s="30"/>
      <c r="F30" s="30"/>
      <c r="G30" s="33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/>
      <c r="AG30"/>
      <c r="AH30"/>
      <c r="AI30" s="1"/>
    </row>
    <row r="31" spans="1:36" s="6" customFormat="1" ht="1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/>
      <c r="AG31"/>
      <c r="AH31"/>
      <c r="AI31" s="1"/>
      <c r="AJ31" s="17"/>
    </row>
    <row r="32" spans="1:36" s="9" customFormat="1" ht="15" customHeight="1" x14ac:dyDescent="0.25">
      <c r="A32" s="35" t="s">
        <v>32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/>
    </row>
    <row r="33" spans="1:36" s="6" customFormat="1" ht="15" customHeight="1" x14ac:dyDescent="0.25">
      <c r="A33" s="2" t="s">
        <v>33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/>
    </row>
    <row r="34" spans="1:36" s="6" customFormat="1" ht="15" customHeight="1" thickBot="1" x14ac:dyDescent="0.3">
      <c r="A34" s="36" t="s">
        <v>34</v>
      </c>
      <c r="B34" s="37"/>
      <c r="C34" s="37"/>
      <c r="D34" s="37"/>
      <c r="E34" s="38"/>
      <c r="F34" s="37"/>
      <c r="G34" s="38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9"/>
      <c r="AG34" s="39"/>
      <c r="AH34" s="39"/>
      <c r="AI34"/>
    </row>
    <row r="35" spans="1:36" s="6" customFormat="1" ht="15" customHeight="1" thickTop="1" x14ac:dyDescent="0.25">
      <c r="A35" s="40"/>
      <c r="B35" s="7"/>
      <c r="C35" s="7"/>
      <c r="D35" s="7"/>
      <c r="E35" s="41"/>
      <c r="F35" s="7"/>
      <c r="G35" s="41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/>
      <c r="AG35"/>
      <c r="AH35"/>
      <c r="AI35"/>
    </row>
    <row r="36" spans="1:36" s="6" customFormat="1" ht="15" customHeight="1" x14ac:dyDescent="0.25">
      <c r="A36" s="30" t="s">
        <v>35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 s="42"/>
    </row>
    <row r="37" spans="1:36" s="6" customFormat="1" ht="15" customHeight="1" x14ac:dyDescent="0.2">
      <c r="A37" s="2" t="s">
        <v>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6" s="6" customFormat="1" ht="15" customHeight="1" x14ac:dyDescent="0.2">
      <c r="A38" s="2" t="s">
        <v>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6" s="6" customFormat="1" ht="15" customHeight="1" x14ac:dyDescent="0.25">
      <c r="A39" s="3" t="s">
        <v>3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6" s="30" customFormat="1" ht="1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</row>
    <row r="41" spans="1:36" s="30" customFormat="1" ht="15" customHeight="1" x14ac:dyDescent="0.2">
      <c r="A41" s="43" t="s">
        <v>36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</row>
    <row r="42" spans="1:36" s="30" customFormat="1" ht="8.1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</row>
    <row r="43" spans="1:36" s="30" customFormat="1" ht="15" customHeight="1" x14ac:dyDescent="0.2">
      <c r="A43" s="2" t="s">
        <v>37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6" s="7" customFormat="1" ht="15" customHeight="1" x14ac:dyDescent="0.25"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 s="6"/>
      <c r="AF44" s="6"/>
      <c r="AG44"/>
    </row>
    <row r="45" spans="1:36" s="7" customFormat="1" ht="15" customHeight="1" x14ac:dyDescent="0.25">
      <c r="A45" s="44" t="s">
        <v>38</v>
      </c>
      <c r="B45" s="44"/>
      <c r="C45" s="12" t="str">
        <f>+[1]APPLICATION!U8</f>
        <v>AYANNA MAE</v>
      </c>
      <c r="D45" s="12"/>
      <c r="E45" s="12"/>
      <c r="F45" s="12"/>
      <c r="G45" s="12"/>
      <c r="H45" s="12"/>
      <c r="I45" s="12"/>
      <c r="J45" s="13" t="str">
        <f>+[1]APPLICATION!U10</f>
        <v>ABIERA</v>
      </c>
      <c r="K45" s="13"/>
      <c r="L45" s="13"/>
      <c r="M45" s="13"/>
      <c r="N45" s="13"/>
      <c r="O45" s="13"/>
      <c r="P45" s="13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/>
    </row>
    <row r="46" spans="1:36" s="7" customFormat="1" ht="1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/>
    </row>
    <row r="47" spans="1:36" s="7" customFormat="1" ht="15" customHeight="1" x14ac:dyDescent="0.25">
      <c r="A47" s="6"/>
      <c r="B47" s="6"/>
      <c r="C47" s="6" t="s">
        <v>39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12" t="str">
        <f>+[1]APPLICATION!B8</f>
        <v>RAYMARK</v>
      </c>
      <c r="U47" s="12"/>
      <c r="V47" s="12"/>
      <c r="W47" s="12"/>
      <c r="X47" s="12"/>
      <c r="Y47" s="12"/>
      <c r="Z47" s="12"/>
      <c r="AA47" s="13" t="str">
        <f>+[1]APPLICATION!B10</f>
        <v>RAMOS</v>
      </c>
      <c r="AB47" s="13"/>
      <c r="AC47" s="13"/>
      <c r="AD47" s="13"/>
      <c r="AE47" s="13"/>
      <c r="AF47" s="13"/>
      <c r="AG47" s="13"/>
    </row>
    <row r="48" spans="1:36" s="7" customFormat="1" ht="15" customHeight="1" x14ac:dyDescent="0.25">
      <c r="A48" s="11" t="s">
        <v>40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9"/>
      <c r="AF48" s="9"/>
      <c r="AG48"/>
    </row>
    <row r="49" spans="1:33" s="7" customFormat="1" ht="15" customHeight="1" x14ac:dyDescent="0.25">
      <c r="A49" s="6" t="s">
        <v>41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/>
    </row>
    <row r="50" spans="1:33" s="7" customFormat="1" ht="8.1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/>
    </row>
    <row r="51" spans="1:33" s="7" customFormat="1" ht="15" customHeight="1" x14ac:dyDescent="0.25">
      <c r="A51" s="45" t="s">
        <v>42</v>
      </c>
      <c r="B51" s="45"/>
      <c r="C51" s="6" t="s">
        <v>43</v>
      </c>
      <c r="D51" s="46"/>
      <c r="E51" s="6"/>
      <c r="F51" s="47"/>
      <c r="G51" s="34">
        <f ca="1">TODAY()</f>
        <v>46061</v>
      </c>
      <c r="H51" s="34"/>
      <c r="I51" s="34"/>
      <c r="J51" s="34"/>
      <c r="K51" s="34"/>
      <c r="L51" s="34"/>
      <c r="M51" s="34"/>
      <c r="N51" s="34"/>
      <c r="O51" s="34"/>
      <c r="P51" s="34"/>
      <c r="Q51" s="6" t="s">
        <v>44</v>
      </c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/>
    </row>
    <row r="52" spans="1:33" s="7" customFormat="1" ht="1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/>
    </row>
    <row r="53" spans="1:33" s="7" customFormat="1" ht="15" customHeight="1" x14ac:dyDescent="0.25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27"/>
      <c r="O53" s="27"/>
      <c r="P53" s="27"/>
      <c r="Q53" s="27"/>
      <c r="R53" s="27"/>
      <c r="S53" s="27"/>
      <c r="T53" s="12" t="str">
        <f>+[1]APPLICATION!U30</f>
        <v>ANNA LIZA</v>
      </c>
      <c r="U53" s="12"/>
      <c r="V53" s="12"/>
      <c r="W53" s="12"/>
      <c r="X53" s="12"/>
      <c r="Y53" s="12"/>
      <c r="Z53" s="13" t="str">
        <f>+[1]APPLICATION!AD30</f>
        <v>ABIERA</v>
      </c>
      <c r="AA53" s="13"/>
      <c r="AB53" s="13"/>
      <c r="AC53" s="13"/>
      <c r="AD53" s="13"/>
      <c r="AE53" s="13"/>
      <c r="AF53" s="6"/>
      <c r="AG53"/>
    </row>
    <row r="54" spans="1:33" s="30" customFormat="1" ht="15" customHeight="1" x14ac:dyDescent="0.2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 t="str">
        <f>+[1]APPLICATION!U31</f>
        <v>Mother</v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G54"/>
    </row>
    <row r="55" spans="1:33" s="7" customFormat="1" ht="15" customHeight="1" x14ac:dyDescent="0.25">
      <c r="C55" s="49"/>
      <c r="D55" s="31"/>
      <c r="E55" s="31"/>
      <c r="F55" s="31"/>
      <c r="G55" s="27"/>
      <c r="H55" s="27"/>
      <c r="I55" s="27"/>
      <c r="J55" s="27"/>
      <c r="K55" s="27"/>
      <c r="L55" s="27"/>
      <c r="M55"/>
      <c r="N55"/>
      <c r="O55"/>
      <c r="P55"/>
      <c r="Q55"/>
      <c r="R55" s="30"/>
      <c r="S55" s="30"/>
      <c r="T55" s="50" t="s">
        <v>45</v>
      </c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6"/>
      <c r="AG55"/>
    </row>
    <row r="56" spans="1:33" s="7" customFormat="1" ht="15" customHeight="1" x14ac:dyDescent="0.25">
      <c r="C56" s="49"/>
      <c r="D56" s="31"/>
      <c r="E56" s="31"/>
      <c r="F56" s="31"/>
      <c r="G56" s="27"/>
      <c r="H56" s="27"/>
      <c r="I56" s="27"/>
      <c r="J56" s="27"/>
      <c r="K56" s="27"/>
      <c r="L56" s="27"/>
      <c r="M56"/>
      <c r="N56"/>
      <c r="O56"/>
      <c r="P56"/>
      <c r="Q56"/>
      <c r="R56" s="51"/>
      <c r="S56" s="51"/>
      <c r="T56" s="30"/>
      <c r="U56" s="30"/>
      <c r="V56" s="30"/>
      <c r="W56" s="30"/>
      <c r="X56" s="52"/>
      <c r="Y56" s="30"/>
      <c r="Z56" s="30"/>
      <c r="AA56" s="30"/>
      <c r="AB56" s="30"/>
      <c r="AC56" s="30"/>
      <c r="AD56"/>
      <c r="AE56" s="6"/>
      <c r="AF56" s="6"/>
      <c r="AG56"/>
    </row>
    <row r="57" spans="1:33" ht="15" customHeight="1" x14ac:dyDescent="0.25">
      <c r="A57" s="6"/>
      <c r="B57" s="6"/>
      <c r="C57" s="6" t="s">
        <v>29</v>
      </c>
      <c r="D57" s="6"/>
      <c r="E57" s="6"/>
      <c r="F57" s="6"/>
      <c r="G57" s="53"/>
      <c r="H57" s="6"/>
      <c r="I57" s="6"/>
      <c r="J57" s="6"/>
      <c r="K57" s="6"/>
      <c r="L57" s="6"/>
      <c r="M57" s="6"/>
      <c r="N57" s="6"/>
      <c r="O57" s="6"/>
      <c r="P57" s="6"/>
      <c r="Q57" s="34">
        <f ca="1">G51</f>
        <v>46061</v>
      </c>
      <c r="R57" s="34"/>
      <c r="S57" s="34"/>
      <c r="T57" s="34"/>
      <c r="U57" s="34"/>
      <c r="V57" s="34"/>
      <c r="W57" s="34"/>
      <c r="X57" s="34"/>
      <c r="Y57" s="34"/>
      <c r="Z57" s="34"/>
      <c r="AA57" s="54" t="s">
        <v>46</v>
      </c>
      <c r="AB57" s="54"/>
      <c r="AC57" s="6"/>
      <c r="AD57" s="6"/>
      <c r="AE57" s="6"/>
      <c r="AF57" s="6"/>
      <c r="AG57" s="6"/>
    </row>
    <row r="58" spans="1:33" ht="15" customHeight="1" x14ac:dyDescent="0.25">
      <c r="A58" s="6" t="s">
        <v>47</v>
      </c>
      <c r="B58" s="6"/>
      <c r="C58" s="6"/>
      <c r="D58" s="6"/>
      <c r="E58" s="6"/>
      <c r="F58" s="6"/>
      <c r="G58" s="53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 spans="1:33" ht="15" customHeight="1" x14ac:dyDescent="0.25">
      <c r="A59" s="6"/>
      <c r="B59" s="6"/>
      <c r="C59" s="6"/>
      <c r="D59" s="6"/>
      <c r="E59" s="6"/>
      <c r="F59" s="6"/>
      <c r="G59" s="53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 spans="1:33" ht="1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11"/>
      <c r="T60" s="55"/>
      <c r="U60" s="55"/>
      <c r="V60" s="55"/>
      <c r="W60" s="55"/>
      <c r="X60" s="55"/>
      <c r="Y60" s="55"/>
      <c r="Z60" s="55"/>
      <c r="AA60" s="55"/>
      <c r="AB60" s="55"/>
      <c r="AC60" s="6"/>
      <c r="AD60" s="6"/>
      <c r="AE60" s="6"/>
      <c r="AF60" s="6"/>
      <c r="AG60" s="6"/>
    </row>
    <row r="61" spans="1:33" ht="15" customHeight="1" x14ac:dyDescent="0.25">
      <c r="A61" s="35" t="s">
        <v>32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</row>
    <row r="62" spans="1:33" ht="15" customHeight="1" x14ac:dyDescent="0.25">
      <c r="A62" s="56" t="s">
        <v>33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</row>
    <row r="63" spans="1:33" ht="15" customHeight="1" x14ac:dyDescent="0.2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</row>
    <row r="64" spans="1:33" ht="15" customHeight="1" x14ac:dyDescent="0.25"/>
    <row r="65" customFormat="1" ht="15" customHeight="1" x14ac:dyDescent="0.25"/>
    <row r="66" customFormat="1" ht="15" customHeight="1" x14ac:dyDescent="0.25"/>
    <row r="67" customFormat="1" ht="15" customHeight="1" x14ac:dyDescent="0.25"/>
    <row r="68" customFormat="1" ht="15" customHeight="1" x14ac:dyDescent="0.25"/>
    <row r="69" customFormat="1" ht="15" customHeight="1" x14ac:dyDescent="0.25"/>
    <row r="70" customFormat="1" ht="15" customHeight="1" x14ac:dyDescent="0.25"/>
    <row r="71" customFormat="1" ht="15" customHeight="1" x14ac:dyDescent="0.25"/>
    <row r="72" customFormat="1" ht="15" customHeight="1" x14ac:dyDescent="0.25"/>
  </sheetData>
  <mergeCells count="57">
    <mergeCell ref="A63:AG63"/>
    <mergeCell ref="G55:L55"/>
    <mergeCell ref="T55:AE55"/>
    <mergeCell ref="G56:L56"/>
    <mergeCell ref="Q57:Z57"/>
    <mergeCell ref="A61:AG61"/>
    <mergeCell ref="A62:AG62"/>
    <mergeCell ref="G51:P51"/>
    <mergeCell ref="A53:M53"/>
    <mergeCell ref="N53:S53"/>
    <mergeCell ref="T53:Y53"/>
    <mergeCell ref="Z53:AE53"/>
    <mergeCell ref="A54:M54"/>
    <mergeCell ref="N54:S54"/>
    <mergeCell ref="T54:AE54"/>
    <mergeCell ref="A41:AG41"/>
    <mergeCell ref="A43:AG43"/>
    <mergeCell ref="A45:B45"/>
    <mergeCell ref="C45:I45"/>
    <mergeCell ref="J45:P45"/>
    <mergeCell ref="T47:Z47"/>
    <mergeCell ref="AA47:AG47"/>
    <mergeCell ref="Q28:X28"/>
    <mergeCell ref="A32:AH32"/>
    <mergeCell ref="A33:AH33"/>
    <mergeCell ref="A37:AG37"/>
    <mergeCell ref="A38:AG38"/>
    <mergeCell ref="A39:AG39"/>
    <mergeCell ref="A24:L24"/>
    <mergeCell ref="T24:AA24"/>
    <mergeCell ref="AB24:AH24"/>
    <mergeCell ref="A25:L25"/>
    <mergeCell ref="T25:AH25"/>
    <mergeCell ref="A26:L26"/>
    <mergeCell ref="T26:AH26"/>
    <mergeCell ref="I15:Z15"/>
    <mergeCell ref="W17:AB17"/>
    <mergeCell ref="AC17:AH17"/>
    <mergeCell ref="I18:Q18"/>
    <mergeCell ref="R18:Y18"/>
    <mergeCell ref="B19:R19"/>
    <mergeCell ref="G13:AH13"/>
    <mergeCell ref="A14:F14"/>
    <mergeCell ref="G14:H14"/>
    <mergeCell ref="I14:N14"/>
    <mergeCell ref="O14:P14"/>
    <mergeCell ref="Q14:Y14"/>
    <mergeCell ref="Z14:AH14"/>
    <mergeCell ref="A2:AI2"/>
    <mergeCell ref="A3:AI3"/>
    <mergeCell ref="A4:AI4"/>
    <mergeCell ref="A6:AH6"/>
    <mergeCell ref="A8:AH8"/>
    <mergeCell ref="D12:K12"/>
    <mergeCell ref="L12:R12"/>
    <mergeCell ref="S12:T12"/>
    <mergeCell ref="U12:AH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CONSENT M-ADVICE 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Aldwin Loreto</dc:creator>
  <cp:lastModifiedBy>Aldwin Loreto</cp:lastModifiedBy>
  <dcterms:created xsi:type="dcterms:W3CDTF">2026-02-08T04:01:24Z</dcterms:created>
  <dcterms:modified xsi:type="dcterms:W3CDTF">2026-02-08T04:02:04Z</dcterms:modified>
</cp:coreProperties>
</file>