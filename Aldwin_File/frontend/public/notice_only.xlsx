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D7E31CE-3327-4C22-8743-D25EA5B26F78}" xr6:coauthVersionLast="47" xr6:coauthVersionMax="47" xr10:uidLastSave="{00000000-0000-0000-0000-000000000000}"/>
  <bookViews>
    <workbookView xWindow="-120" yWindow="-120" windowWidth="20730" windowHeight="11760" xr2:uid="{2CC3C281-4E6B-4B38-9876-7AD3D1F56701}"/>
  </bookViews>
  <sheets>
    <sheet name="NOTI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1" l="1"/>
  <c r="AF32" i="1"/>
  <c r="AB32" i="1"/>
  <c r="F32" i="1"/>
  <c r="B32" i="1"/>
  <c r="A32" i="1"/>
  <c r="AB27" i="1"/>
  <c r="X27" i="1"/>
  <c r="F27" i="1"/>
  <c r="AB26" i="1"/>
  <c r="X26" i="1"/>
  <c r="F26" i="1"/>
  <c r="E44" i="1" s="1"/>
  <c r="X25" i="1"/>
  <c r="M25" i="1"/>
  <c r="F25" i="1"/>
  <c r="AB21" i="1"/>
  <c r="X21" i="1"/>
  <c r="F21" i="1"/>
  <c r="AB20" i="1"/>
  <c r="X20" i="1"/>
  <c r="F20" i="1"/>
  <c r="X19" i="1"/>
  <c r="I16" i="1"/>
  <c r="A16" i="1"/>
  <c r="I12" i="1"/>
  <c r="M19" i="1" s="1"/>
  <c r="A12" i="1"/>
  <c r="F19" i="1" s="1"/>
</calcChain>
</file>

<file path=xl/sharedStrings.xml><?xml version="1.0" encoding="utf-8"?>
<sst xmlns="http://schemas.openxmlformats.org/spreadsheetml/2006/main" count="53" uniqueCount="30">
  <si>
    <t>Mun. Form No. 9</t>
  </si>
  <si>
    <t>Republic of the Philippines</t>
  </si>
  <si>
    <t>OFFICE OF THE MUNICIPAL CIVIL REGISTRAR</t>
  </si>
  <si>
    <t>Solano, Nueva Vizcaya</t>
  </si>
  <si>
    <t>N O T I C E</t>
  </si>
  <si>
    <t>APPLICANTS FOR MARRIAGE LICENSE</t>
  </si>
  <si>
    <t>and</t>
  </si>
  <si>
    <t>Name</t>
  </si>
  <si>
    <t>:</t>
  </si>
  <si>
    <t>Age</t>
  </si>
  <si>
    <t>Birthplace</t>
  </si>
  <si>
    <t>Father</t>
  </si>
  <si>
    <t>Residence</t>
  </si>
  <si>
    <t>Mother</t>
  </si>
  <si>
    <t>Wishes to contract marriage with</t>
  </si>
  <si>
    <t xml:space="preserve">Any  person  having  knowledge  of  any legal  impediment  to such marriage will please report to this Office </t>
  </si>
  <si>
    <t>within ten (10) days from this date.</t>
  </si>
  <si>
    <t>Application Number  :</t>
  </si>
  <si>
    <t>-</t>
  </si>
  <si>
    <t>Date</t>
  </si>
  <si>
    <t>OLIVER V. CATAHINA</t>
  </si>
  <si>
    <t>Municipal Civil Registrar</t>
  </si>
  <si>
    <t>Application/Notice Prepared by :</t>
  </si>
  <si>
    <t>Registration Officer II</t>
  </si>
  <si>
    <t>Copy Furnished :</t>
  </si>
  <si>
    <t>L.C.R.</t>
  </si>
  <si>
    <t>File</t>
  </si>
  <si>
    <t xml:space="preserve">Note:   This notice  shall request all persons having knowledge of any impediment to the marriage to advise the </t>
  </si>
  <si>
    <t>Local Civil Registrar thereof. The license shall be issued after completion of the publication, unless the LCR</t>
  </si>
  <si>
    <t>receives information of any alleged impediment to the marriage. (RA 366 Art. 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</si>
</sst>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sz val="18"/>
      <name val="Footlight MT Light"/>
      <family val="1"/>
    </font>
    <font>
      <b/>
      <sz val="12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 Narrow"/>
      <family val="2"/>
    </font>
    <font>
      <sz val="10"/>
      <name val="Arial"/>
      <family val="2"/>
    </font>
    <font>
      <sz val="10"/>
      <name val="Arial Narrow"/>
      <family val="2"/>
    </font>
    <font>
      <sz val="14"/>
      <name val="Monotype Corsiva"/>
      <family val="4"/>
    </font>
    <font>
      <sz val="9"/>
      <name val="Arial"/>
      <family val="2"/>
    </font>
    <font>
      <sz val="9"/>
      <name val="Arial Narrow"/>
      <family val="2"/>
    </font>
    <font>
      <b/>
      <u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1" fillId="0" borderId="1" xfId="0" applyFont="1" applyBorder="1" applyAlignment="1">
      <alignment horizontal="right" shrinkToFit="1"/>
    </xf>
    <xf numFmtId="0" fontId="1" fillId="0" borderId="2" xfId="0" applyFont="1" applyBorder="1" applyAlignment="1">
      <alignment horizontal="right" shrinkToFi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left" textRotation="255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1" fillId="0" borderId="2" xfId="0" applyFont="1" applyBorder="1" applyAlignment="1">
      <alignment horizontal="center" vertical="center" textRotation="255"/>
    </xf>
    <xf numFmtId="0" fontId="0" fillId="0" borderId="0" xfId="0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" fontId="0" fillId="0" borderId="0" xfId="0" applyNumberFormat="1"/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/>
    <xf numFmtId="0" fontId="13" fillId="0" borderId="0" xfId="0" applyFont="1"/>
    <xf numFmtId="0" fontId="9" fillId="0" borderId="0" xfId="0" applyFont="1" applyAlignment="1">
      <alignment horizontal="center"/>
    </xf>
    <xf numFmtId="0" fontId="11" fillId="0" borderId="0" xfId="0" applyFont="1"/>
    <xf numFmtId="0" fontId="10" fillId="0" borderId="0" xfId="0" applyFont="1"/>
    <xf numFmtId="0" fontId="14" fillId="0" borderId="0" xfId="0" applyFont="1" applyAlignment="1">
      <alignment horizontal="left"/>
    </xf>
    <xf numFmtId="1" fontId="0" fillId="0" borderId="4" xfId="0" applyNumberFormat="1" applyBorder="1"/>
    <xf numFmtId="0" fontId="0" fillId="0" borderId="4" xfId="0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Alignment="1">
      <alignment horizontal="left"/>
    </xf>
    <xf numFmtId="0" fontId="15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quotePrefix="1" applyFont="1" applyAlignment="1">
      <alignment horizontal="center"/>
    </xf>
    <xf numFmtId="0" fontId="15" fillId="0" borderId="0" xfId="0" applyFont="1" applyAlignment="1">
      <alignment horizontal="left"/>
    </xf>
    <xf numFmtId="16" fontId="0" fillId="0" borderId="0" xfId="0" applyNumberFormat="1"/>
    <xf numFmtId="0" fontId="16" fillId="0" borderId="0" xfId="0" applyFont="1"/>
    <xf numFmtId="0" fontId="2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4" fontId="13" fillId="0" borderId="4" xfId="0" applyNumberFormat="1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14" fontId="10" fillId="0" borderId="2" xfId="0" applyNumberFormat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47625</xdr:rowOff>
    </xdr:from>
    <xdr:to>
      <xdr:col>5</xdr:col>
      <xdr:colOff>47625</xdr:colOff>
      <xdr:row>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4F549-E711-4513-BA63-80866E72B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095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26</xdr:col>
      <xdr:colOff>95250</xdr:colOff>
      <xdr:row>0</xdr:row>
      <xdr:rowOff>0</xdr:rowOff>
    </xdr:from>
    <xdr:to>
      <xdr:col>33</xdr:col>
      <xdr:colOff>152400</xdr:colOff>
      <xdr:row>6</xdr:row>
      <xdr:rowOff>36195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D40990-9D59-498A-9229-2EDC31D1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0"/>
          <a:ext cx="1323975" cy="1379220"/>
        </a:xfrm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16</xdr:row>
      <xdr:rowOff>0</xdr:rowOff>
    </xdr:from>
    <xdr:to>
      <xdr:col>49</xdr:col>
      <xdr:colOff>123825</xdr:colOff>
      <xdr:row>17</xdr:row>
      <xdr:rowOff>85725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388D5F01-F338-48D8-9DBB-7BF414A8F01F}"/>
            </a:ext>
          </a:extLst>
        </xdr:cNvPr>
        <xdr:cNvSpPr>
          <a:spLocks noChangeAspect="1" noChangeArrowheads="1"/>
        </xdr:cNvSpPr>
      </xdr:nvSpPr>
      <xdr:spPr bwMode="auto">
        <a:xfrm>
          <a:off x="8686800" y="31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44</xdr:col>
      <xdr:colOff>0</xdr:colOff>
      <xdr:row>13</xdr:row>
      <xdr:rowOff>0</xdr:rowOff>
    </xdr:from>
    <xdr:to>
      <xdr:col>45</xdr:col>
      <xdr:colOff>123825</xdr:colOff>
      <xdr:row>14</xdr:row>
      <xdr:rowOff>114300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1537FA51-42B8-4CE2-9D1C-41A5FC4CFF26}"/>
            </a:ext>
          </a:extLst>
        </xdr:cNvPr>
        <xdr:cNvSpPr>
          <a:spLocks noChangeAspect="1" noChangeArrowheads="1"/>
        </xdr:cNvSpPr>
      </xdr:nvSpPr>
      <xdr:spPr bwMode="auto">
        <a:xfrm>
          <a:off x="7962900" y="25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53</xdr:col>
      <xdr:colOff>0</xdr:colOff>
      <xdr:row>12</xdr:row>
      <xdr:rowOff>0</xdr:rowOff>
    </xdr:from>
    <xdr:to>
      <xdr:col>54</xdr:col>
      <xdr:colOff>123825</xdr:colOff>
      <xdr:row>13</xdr:row>
      <xdr:rowOff>114300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515177B8-8595-403C-99D6-BCCBD47768C2}"/>
            </a:ext>
          </a:extLst>
        </xdr:cNvPr>
        <xdr:cNvSpPr>
          <a:spLocks noChangeAspect="1" noChangeArrowheads="1"/>
        </xdr:cNvSpPr>
      </xdr:nvSpPr>
      <xdr:spPr bwMode="auto">
        <a:xfrm>
          <a:off x="9591675" y="23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51</xdr:col>
      <xdr:colOff>0</xdr:colOff>
      <xdr:row>39</xdr:row>
      <xdr:rowOff>0</xdr:rowOff>
    </xdr:from>
    <xdr:to>
      <xdr:col>52</xdr:col>
      <xdr:colOff>123825</xdr:colOff>
      <xdr:row>40</xdr:row>
      <xdr:rowOff>85725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3E5C30F9-5EF4-49AC-B4A2-0C0F84034BD9}"/>
            </a:ext>
          </a:extLst>
        </xdr:cNvPr>
        <xdr:cNvSpPr>
          <a:spLocks noChangeAspect="1" noChangeArrowheads="1"/>
        </xdr:cNvSpPr>
      </xdr:nvSpPr>
      <xdr:spPr bwMode="auto">
        <a:xfrm>
          <a:off x="9229725" y="68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33</xdr:col>
      <xdr:colOff>19050</xdr:colOff>
      <xdr:row>10</xdr:row>
      <xdr:rowOff>152400</xdr:rowOff>
    </xdr:from>
    <xdr:to>
      <xdr:col>87</xdr:col>
      <xdr:colOff>0</xdr:colOff>
      <xdr:row>45</xdr:row>
      <xdr:rowOff>85725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0A86923E-3067-4773-B9A3-C729D153565C}"/>
            </a:ext>
          </a:extLst>
        </xdr:cNvPr>
        <xdr:cNvSpPr>
          <a:spLocks noChangeAspect="1" noChangeArrowheads="1"/>
        </xdr:cNvSpPr>
      </xdr:nvSpPr>
      <xdr:spPr bwMode="auto">
        <a:xfrm>
          <a:off x="5991225" y="2085975"/>
          <a:ext cx="9753600" cy="7315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114300</xdr:colOff>
      <xdr:row>10</xdr:row>
      <xdr:rowOff>57150</xdr:rowOff>
    </xdr:from>
    <xdr:to>
      <xdr:col>30</xdr:col>
      <xdr:colOff>90170</xdr:colOff>
      <xdr:row>17</xdr:row>
      <xdr:rowOff>47625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57A2005-53EE-436F-B803-A88638BB13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05" r="13048"/>
        <a:stretch>
          <a:fillRect/>
        </a:stretch>
      </xdr:blipFill>
      <xdr:spPr bwMode="auto">
        <a:xfrm rot="10800000" flipV="1">
          <a:off x="3486150" y="1990725"/>
          <a:ext cx="2033270" cy="1352550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  <sheetName val="Sheet1"/>
    </sheetNames>
    <sheetDataSet>
      <sheetData sheetId="0">
        <row r="3">
          <cell r="X3">
            <v>2026</v>
          </cell>
          <cell r="AD3">
            <v>17</v>
          </cell>
        </row>
        <row r="4">
          <cell r="F4" t="str">
            <v>BERNADETTE T. SAMANDRE</v>
          </cell>
        </row>
        <row r="8">
          <cell r="B8" t="str">
            <v>RAYMARK</v>
          </cell>
          <cell r="U8" t="str">
            <v>AYANNA MAE</v>
          </cell>
        </row>
        <row r="10">
          <cell r="B10" t="str">
            <v>RAMOS</v>
          </cell>
          <cell r="U10" t="str">
            <v>ABIERA</v>
          </cell>
        </row>
        <row r="11">
          <cell r="N11">
            <v>23</v>
          </cell>
          <cell r="AF11">
            <v>23</v>
          </cell>
        </row>
        <row r="12">
          <cell r="B12" t="str">
            <v>Solano, Nueva Vizcaya</v>
          </cell>
          <cell r="U12" t="str">
            <v>Bayombong, Nueva Vizcaya</v>
          </cell>
        </row>
        <row r="15">
          <cell r="B15" t="str">
            <v>Brgy. Osmeña, Solano, Nueva Vizcaya</v>
          </cell>
          <cell r="U15" t="str">
            <v>Brgy. Pob. South, Solano, Nueva Vizcaya</v>
          </cell>
        </row>
        <row r="22">
          <cell r="B22" t="str">
            <v>RAYMUNDO JR.</v>
          </cell>
          <cell r="L22" t="str">
            <v>RAMOS</v>
          </cell>
          <cell r="U22" t="str">
            <v>NOEL JOHN</v>
          </cell>
          <cell r="AC22" t="str">
            <v>ABIERA</v>
          </cell>
        </row>
        <row r="26">
          <cell r="B26" t="str">
            <v>MARICEL</v>
          </cell>
          <cell r="K26" t="str">
            <v>LEAL</v>
          </cell>
          <cell r="U26" t="str">
            <v>ANNA LIZA</v>
          </cell>
          <cell r="AD26" t="str">
            <v>CUISON</v>
          </cell>
        </row>
        <row r="37">
          <cell r="B37">
            <v>4</v>
          </cell>
          <cell r="E37" t="str">
            <v>February</v>
          </cell>
          <cell r="L37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B2DDD-041B-46E3-AF3D-B86AD4B4B64C}">
  <dimension ref="A1:AY51"/>
  <sheetViews>
    <sheetView tabSelected="1" topLeftCell="A7" workbookViewId="0">
      <selection activeCell="BB17" sqref="BB17"/>
    </sheetView>
  </sheetViews>
  <sheetFormatPr defaultRowHeight="15" x14ac:dyDescent="0.25"/>
  <cols>
    <col min="1" max="6" width="2.7109375" customWidth="1"/>
    <col min="7" max="7" width="2" customWidth="1"/>
    <col min="8" max="8" width="1.85546875" customWidth="1"/>
    <col min="9" max="11" width="2.7109375" customWidth="1"/>
    <col min="12" max="12" width="1.85546875" customWidth="1"/>
    <col min="13" max="13" width="4.140625" customWidth="1"/>
    <col min="14" max="22" width="2.7109375" customWidth="1"/>
    <col min="23" max="23" width="3.28515625" customWidth="1"/>
    <col min="24" max="24" width="3.140625" customWidth="1"/>
    <col min="25" max="101" width="2.7109375" customWidth="1"/>
  </cols>
  <sheetData>
    <row r="1" spans="1:5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5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51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5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spans="1:51" x14ac:dyDescent="0.25">
      <c r="A5" s="2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5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4"/>
      <c r="AJ6" s="4"/>
    </row>
    <row r="7" spans="1:5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4"/>
      <c r="AJ7" s="4"/>
    </row>
    <row r="8" spans="1:51" ht="24.95" customHeight="1" x14ac:dyDescent="0.4">
      <c r="A8" s="5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51" ht="22.5" x14ac:dyDescent="0.3">
      <c r="A9" s="6" t="s">
        <v>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7"/>
      <c r="AI9" s="7"/>
      <c r="AJ9" s="7"/>
    </row>
    <row r="10" spans="1:51" ht="15.7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7"/>
      <c r="AJ10" s="7"/>
    </row>
    <row r="11" spans="1:51" ht="15.75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W11" s="8"/>
      <c r="X11" s="8"/>
      <c r="Z11" s="9"/>
      <c r="AA11" s="9"/>
      <c r="AB11" s="9"/>
      <c r="AC11" s="9"/>
      <c r="AD11" s="9"/>
      <c r="AE11" s="9"/>
      <c r="AF11" s="9"/>
      <c r="AG11" s="9"/>
      <c r="AH11" s="9"/>
      <c r="AI11" s="7"/>
      <c r="AJ11" s="7"/>
    </row>
    <row r="12" spans="1:51" ht="15.75" x14ac:dyDescent="0.25">
      <c r="A12" s="10" t="str">
        <f>+[1]APPLICATION!B8</f>
        <v>RAYMARK</v>
      </c>
      <c r="B12" s="11"/>
      <c r="C12" s="11"/>
      <c r="D12" s="11"/>
      <c r="E12" s="11"/>
      <c r="F12" s="11"/>
      <c r="G12" s="11"/>
      <c r="H12" s="12"/>
      <c r="I12" s="13" t="str">
        <f>+[1]APPLICATION!B10</f>
        <v>RAMOS</v>
      </c>
      <c r="J12" s="13"/>
      <c r="K12" s="13"/>
      <c r="L12" s="13"/>
      <c r="M12" s="13"/>
      <c r="N12" s="13"/>
      <c r="O12" s="14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  <c r="AC12" s="9"/>
      <c r="AD12" s="9"/>
      <c r="AE12" s="9"/>
      <c r="AF12" s="9"/>
      <c r="AG12" s="9"/>
      <c r="AI12" s="7"/>
      <c r="AJ12" s="7"/>
    </row>
    <row r="13" spans="1:51" ht="15.75" x14ac:dyDescent="0.25">
      <c r="A13" s="15"/>
      <c r="B13" s="15"/>
      <c r="C13" s="15"/>
      <c r="D13" s="15"/>
      <c r="E13" s="15"/>
      <c r="F13" s="15"/>
      <c r="G13" s="15"/>
      <c r="H13" s="16"/>
      <c r="I13" s="17"/>
      <c r="J13" s="17"/>
      <c r="K13" s="17"/>
      <c r="L13" s="17"/>
      <c r="M13" s="17"/>
      <c r="N13" s="17"/>
      <c r="O13" s="17"/>
      <c r="P13" s="7"/>
      <c r="Q13" s="7"/>
      <c r="R13" s="7"/>
      <c r="S13" s="7"/>
      <c r="T13" s="7"/>
      <c r="U13" s="7"/>
      <c r="V13" s="7"/>
      <c r="W13" s="7"/>
      <c r="X13" s="7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7"/>
      <c r="AJ13" s="7"/>
      <c r="AK13" s="7"/>
      <c r="AL13" s="7"/>
      <c r="AM13" s="7"/>
      <c r="AN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ht="15.75" x14ac:dyDescent="0.25">
      <c r="A14" s="18" t="s">
        <v>6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7"/>
      <c r="Q14" s="7"/>
      <c r="R14" s="7"/>
      <c r="S14" s="7"/>
      <c r="T14" s="7"/>
      <c r="U14" s="7"/>
      <c r="V14" s="7"/>
      <c r="W14" s="7"/>
      <c r="X14" s="7"/>
      <c r="Z14" s="9"/>
      <c r="AA14" s="9"/>
      <c r="AC14" s="9"/>
      <c r="AD14" s="9"/>
      <c r="AE14" s="9"/>
      <c r="AF14" s="9"/>
      <c r="AG14" s="9"/>
      <c r="AH14" s="9"/>
      <c r="AI14" s="7"/>
      <c r="AJ14" s="7"/>
      <c r="AK14" s="7"/>
      <c r="AL14" s="7"/>
      <c r="AM14" s="7"/>
      <c r="AN14" s="7"/>
      <c r="AO14" s="7"/>
      <c r="AP14" s="7"/>
      <c r="AQ14" s="7"/>
      <c r="AR14" s="7"/>
      <c r="AT14" s="7"/>
      <c r="AU14" s="7"/>
      <c r="AV14" s="7"/>
      <c r="AW14" s="7"/>
      <c r="AX14" s="7"/>
      <c r="AY14" s="7"/>
    </row>
    <row r="15" spans="1:51" ht="15.75" customHeight="1" x14ac:dyDescent="0.2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7"/>
      <c r="Q15" s="7"/>
      <c r="R15" s="7"/>
      <c r="S15" s="7"/>
      <c r="T15" s="7"/>
      <c r="U15" s="7"/>
      <c r="V15" s="7"/>
      <c r="W15" s="7"/>
      <c r="X15" s="7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ht="15" customHeight="1" x14ac:dyDescent="0.25">
      <c r="A16" s="20" t="str">
        <f>+[1]APPLICATION!U8</f>
        <v>AYANNA MAE</v>
      </c>
      <c r="B16" s="21"/>
      <c r="C16" s="21"/>
      <c r="D16" s="21"/>
      <c r="E16" s="21"/>
      <c r="F16" s="21"/>
      <c r="G16" s="21"/>
      <c r="H16" s="22"/>
      <c r="I16" s="13" t="str">
        <f>+[1]APPLICATION!U10</f>
        <v>ABIERA</v>
      </c>
      <c r="J16" s="13"/>
      <c r="K16" s="13"/>
      <c r="L16" s="13"/>
      <c r="M16" s="13"/>
      <c r="N16" s="13"/>
      <c r="O16" s="14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 spans="1:35" x14ac:dyDescent="0.25">
      <c r="A17" s="15"/>
      <c r="B17" s="15"/>
      <c r="C17" s="15"/>
      <c r="D17" s="15"/>
      <c r="E17" s="15"/>
      <c r="F17" s="15"/>
      <c r="G17" s="15"/>
      <c r="H17" s="16"/>
      <c r="I17" s="17"/>
      <c r="J17" s="17"/>
      <c r="K17" s="17"/>
      <c r="L17" s="17"/>
      <c r="M17" s="17"/>
      <c r="N17" s="17"/>
      <c r="O17" s="17"/>
    </row>
    <row r="19" spans="1:35" x14ac:dyDescent="0.25">
      <c r="A19" s="23" t="s">
        <v>7</v>
      </c>
      <c r="B19" s="23"/>
      <c r="C19" s="23"/>
      <c r="D19" s="23"/>
      <c r="E19" t="s">
        <v>8</v>
      </c>
      <c r="F19" s="24" t="str">
        <f>A12</f>
        <v>RAYMARK</v>
      </c>
      <c r="G19" s="24"/>
      <c r="H19" s="24"/>
      <c r="I19" s="24"/>
      <c r="J19" s="24"/>
      <c r="K19" s="24"/>
      <c r="L19" s="25"/>
      <c r="M19" s="24" t="str">
        <f>I12</f>
        <v>RAMOS</v>
      </c>
      <c r="N19" s="24"/>
      <c r="O19" s="24"/>
      <c r="P19" s="24"/>
      <c r="Q19" s="24"/>
      <c r="R19" s="24"/>
      <c r="T19" s="23" t="s">
        <v>9</v>
      </c>
      <c r="U19" s="23"/>
      <c r="V19" s="23"/>
      <c r="W19" t="s">
        <v>8</v>
      </c>
      <c r="X19" s="26">
        <f>+[1]APPLICATION!N11</f>
        <v>23</v>
      </c>
    </row>
    <row r="20" spans="1:35" x14ac:dyDescent="0.25">
      <c r="A20" s="23" t="s">
        <v>10</v>
      </c>
      <c r="B20" s="23"/>
      <c r="C20" s="23"/>
      <c r="D20" s="23"/>
      <c r="E20" t="s">
        <v>8</v>
      </c>
      <c r="F20" s="27" t="str">
        <f>+[1]APPLICATION!B12</f>
        <v>Solano, Nueva Vizcaya</v>
      </c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T20" s="23" t="s">
        <v>11</v>
      </c>
      <c r="U20" s="23"/>
      <c r="V20" s="23"/>
      <c r="W20" t="s">
        <v>8</v>
      </c>
      <c r="X20" s="28" t="str">
        <f>+[1]APPLICATION!B22</f>
        <v>RAYMUNDO JR.</v>
      </c>
      <c r="Y20" s="29"/>
      <c r="Z20" s="29"/>
      <c r="AA20" s="29"/>
      <c r="AB20" s="29" t="str">
        <f>+[1]APPLICATION!L22</f>
        <v>RAMOS</v>
      </c>
      <c r="AC20" s="30"/>
      <c r="AD20" s="29"/>
      <c r="AE20" s="29"/>
      <c r="AF20" s="29"/>
      <c r="AG20" s="29"/>
      <c r="AH20" s="29"/>
      <c r="AI20" s="29"/>
    </row>
    <row r="21" spans="1:35" x14ac:dyDescent="0.25">
      <c r="A21" s="23" t="s">
        <v>12</v>
      </c>
      <c r="B21" s="23"/>
      <c r="C21" s="23"/>
      <c r="D21" s="23"/>
      <c r="E21" t="s">
        <v>8</v>
      </c>
      <c r="F21" s="31" t="str">
        <f>+[1]APPLICATION!B15</f>
        <v>Brgy. Osmeña, Solano, Nueva Vizcaya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T21" s="23" t="s">
        <v>13</v>
      </c>
      <c r="U21" s="23"/>
      <c r="V21" s="23"/>
      <c r="W21" t="s">
        <v>8</v>
      </c>
      <c r="X21" s="28" t="str">
        <f>+[1]APPLICATION!B26</f>
        <v>MARICEL</v>
      </c>
      <c r="Y21" s="29"/>
      <c r="Z21" s="29"/>
      <c r="AA21" s="29"/>
      <c r="AB21" s="29" t="str">
        <f>+[1]APPLICATION!K26</f>
        <v>LEAL</v>
      </c>
      <c r="AC21" s="30"/>
      <c r="AD21" s="29"/>
      <c r="AE21" s="29"/>
      <c r="AF21" s="29"/>
      <c r="AG21" s="29"/>
      <c r="AH21" s="29"/>
      <c r="AI21" s="29"/>
    </row>
    <row r="22" spans="1:35" ht="8.1" customHeight="1" x14ac:dyDescent="0.25"/>
    <row r="23" spans="1:35" ht="18.75" x14ac:dyDescent="0.3">
      <c r="A23" s="32" t="s">
        <v>14</v>
      </c>
      <c r="B23" s="32"/>
      <c r="C23" s="32"/>
      <c r="D23" s="32"/>
      <c r="E23" s="32"/>
      <c r="F23" s="32"/>
      <c r="G23" s="32"/>
      <c r="H23" s="32"/>
      <c r="I23" s="32"/>
      <c r="J23" s="32"/>
      <c r="S23" s="33"/>
    </row>
    <row r="24" spans="1:35" ht="8.1" customHeight="1" x14ac:dyDescent="0.25"/>
    <row r="25" spans="1:35" x14ac:dyDescent="0.25">
      <c r="A25" s="23" t="s">
        <v>7</v>
      </c>
      <c r="B25" s="23"/>
      <c r="C25" s="23"/>
      <c r="D25" s="23"/>
      <c r="E25" t="s">
        <v>8</v>
      </c>
      <c r="F25" s="24" t="str">
        <f>+A16</f>
        <v>AYANNA MAE</v>
      </c>
      <c r="G25" s="24"/>
      <c r="H25" s="24"/>
      <c r="I25" s="24"/>
      <c r="J25" s="24"/>
      <c r="K25" s="24"/>
      <c r="L25" s="34"/>
      <c r="M25" s="24" t="str">
        <f>+I16</f>
        <v>ABIERA</v>
      </c>
      <c r="N25" s="24"/>
      <c r="O25" s="24"/>
      <c r="P25" s="24"/>
      <c r="Q25" s="24"/>
      <c r="R25" s="24"/>
      <c r="T25" s="23" t="s">
        <v>9</v>
      </c>
      <c r="U25" s="23"/>
      <c r="V25" s="23"/>
      <c r="W25" t="s">
        <v>8</v>
      </c>
      <c r="X25" s="26">
        <f>+[1]APPLICATION!AF11</f>
        <v>23</v>
      </c>
    </row>
    <row r="26" spans="1:35" x14ac:dyDescent="0.25">
      <c r="A26" s="23" t="s">
        <v>10</v>
      </c>
      <c r="B26" s="23"/>
      <c r="C26" s="23"/>
      <c r="D26" s="23"/>
      <c r="E26" t="s">
        <v>8</v>
      </c>
      <c r="F26" s="27" t="str">
        <f>+[1]APPLICATION!U12</f>
        <v>Bayombong, Nueva Vizcaya</v>
      </c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T26" s="23" t="s">
        <v>11</v>
      </c>
      <c r="U26" s="23"/>
      <c r="V26" s="23"/>
      <c r="W26" t="s">
        <v>8</v>
      </c>
      <c r="X26" s="35" t="str">
        <f>+[1]APPLICATION!U22</f>
        <v>NOEL JOHN</v>
      </c>
      <c r="AB26" s="36" t="str">
        <f>+[1]APPLICATION!AC22</f>
        <v>ABIERA</v>
      </c>
      <c r="AD26" s="36"/>
    </row>
    <row r="27" spans="1:35" x14ac:dyDescent="0.25">
      <c r="A27" s="23" t="s">
        <v>12</v>
      </c>
      <c r="B27" s="23"/>
      <c r="C27" s="23"/>
      <c r="D27" s="23"/>
      <c r="E27" t="s">
        <v>8</v>
      </c>
      <c r="F27" s="37" t="str">
        <f>+[1]APPLICATION!U15</f>
        <v>Brgy. Pob. South, Solano, Nueva Vizcaya</v>
      </c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T27" s="23" t="s">
        <v>13</v>
      </c>
      <c r="U27" s="23"/>
      <c r="V27" s="23"/>
      <c r="W27" t="s">
        <v>8</v>
      </c>
      <c r="X27" s="35" t="str">
        <f>+[1]APPLICATION!U26</f>
        <v>ANNA LIZA</v>
      </c>
      <c r="AB27" s="36" t="str">
        <f>+[1]APPLICATION!AD26</f>
        <v>CUISON</v>
      </c>
      <c r="AD27" s="36"/>
    </row>
    <row r="29" spans="1:35" x14ac:dyDescent="0.25">
      <c r="A29" t="s">
        <v>15</v>
      </c>
    </row>
    <row r="30" spans="1:35" x14ac:dyDescent="0.25">
      <c r="A30" t="s">
        <v>16</v>
      </c>
    </row>
    <row r="32" spans="1:35" x14ac:dyDescent="0.25">
      <c r="A32" s="38">
        <f>+[1]APPLICATION!B37</f>
        <v>4</v>
      </c>
      <c r="B32" s="39" t="str">
        <f>+[1]APPLICATION!E37</f>
        <v>February</v>
      </c>
      <c r="C32" s="39"/>
      <c r="D32" s="39"/>
      <c r="E32" s="39"/>
      <c r="F32" s="40">
        <f>+[1]APPLICATION!L37</f>
        <v>2026</v>
      </c>
      <c r="G32" s="39"/>
      <c r="P32" s="41"/>
      <c r="Q32" s="41"/>
      <c r="R32" s="41"/>
      <c r="S32" s="41"/>
      <c r="T32" s="41"/>
      <c r="U32" s="41"/>
      <c r="V32" s="41" t="s">
        <v>17</v>
      </c>
      <c r="X32" s="42"/>
      <c r="Y32" s="42"/>
      <c r="Z32" s="42"/>
      <c r="AA32" s="42"/>
      <c r="AB32" s="43">
        <f>+[1]APPLICATION!X3</f>
        <v>2026</v>
      </c>
      <c r="AC32" s="43"/>
      <c r="AD32" s="43"/>
      <c r="AE32" s="44" t="s">
        <v>18</v>
      </c>
      <c r="AF32" s="45">
        <f>+[1]APPLICATION!AD3</f>
        <v>17</v>
      </c>
      <c r="AG32" s="45"/>
      <c r="AH32" s="45"/>
    </row>
    <row r="33" spans="1:31" x14ac:dyDescent="0.25">
      <c r="C33" s="2" t="s">
        <v>19</v>
      </c>
      <c r="D33" s="2"/>
      <c r="E33" s="46"/>
      <c r="Z33" s="47"/>
    </row>
    <row r="35" spans="1:31" x14ac:dyDescent="0.25">
      <c r="V35" s="3" t="s">
        <v>20</v>
      </c>
      <c r="W35" s="3"/>
      <c r="X35" s="3"/>
      <c r="Y35" s="3"/>
      <c r="Z35" s="3"/>
      <c r="AA35" s="3"/>
      <c r="AB35" s="3"/>
      <c r="AC35" s="3"/>
      <c r="AD35" s="3"/>
      <c r="AE35" s="3"/>
    </row>
    <row r="36" spans="1:31" x14ac:dyDescent="0.25">
      <c r="V36" s="2" t="s">
        <v>21</v>
      </c>
      <c r="W36" s="2"/>
      <c r="X36" s="2"/>
      <c r="Y36" s="2"/>
      <c r="Z36" s="2"/>
      <c r="AA36" s="2"/>
      <c r="AB36" s="2"/>
      <c r="AC36" s="2"/>
      <c r="AD36" s="2"/>
      <c r="AE36" s="2"/>
    </row>
    <row r="37" spans="1:31" x14ac:dyDescent="0.25">
      <c r="A37" t="s">
        <v>22</v>
      </c>
    </row>
    <row r="40" spans="1:31" x14ac:dyDescent="0.25">
      <c r="A40" s="48" t="str">
        <f>+[1]APPLICATION!F4</f>
        <v>BERNADETTE T. SAMANDRE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</row>
    <row r="41" spans="1:31" x14ac:dyDescent="0.25">
      <c r="A41" s="49" t="s">
        <v>23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</row>
    <row r="42" spans="1:31" ht="8.1" customHeight="1" x14ac:dyDescent="0.25"/>
    <row r="43" spans="1:31" x14ac:dyDescent="0.25">
      <c r="A43" t="s">
        <v>24</v>
      </c>
    </row>
    <row r="44" spans="1:31" x14ac:dyDescent="0.25">
      <c r="A44" t="s">
        <v>18</v>
      </c>
      <c r="B44" t="s">
        <v>25</v>
      </c>
      <c r="E44" s="50" t="str">
        <f>+F26</f>
        <v>Bayombong, Nueva Vizcaya</v>
      </c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</row>
    <row r="45" spans="1:31" x14ac:dyDescent="0.25">
      <c r="A45" t="s">
        <v>18</v>
      </c>
      <c r="B45" t="s">
        <v>25</v>
      </c>
      <c r="E45" s="52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</row>
    <row r="46" spans="1:31" x14ac:dyDescent="0.25">
      <c r="A46" s="54" t="s">
        <v>18</v>
      </c>
      <c r="B46" s="36" t="s">
        <v>25</v>
      </c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</row>
    <row r="47" spans="1:31" x14ac:dyDescent="0.25">
      <c r="A47" t="s">
        <v>18</v>
      </c>
      <c r="B47" t="s">
        <v>26</v>
      </c>
    </row>
    <row r="48" spans="1:31" ht="8.1" customHeight="1" x14ac:dyDescent="0.25">
      <c r="A48" s="55"/>
    </row>
    <row r="49" spans="1:1" x14ac:dyDescent="0.25">
      <c r="A49" t="s">
        <v>27</v>
      </c>
    </row>
    <row r="50" spans="1:1" x14ac:dyDescent="0.25">
      <c r="A50" t="s">
        <v>28</v>
      </c>
    </row>
    <row r="51" spans="1:1" x14ac:dyDescent="0.25">
      <c r="A51" t="s">
        <v>29</v>
      </c>
    </row>
  </sheetData>
  <mergeCells count="47">
    <mergeCell ref="E44:P44"/>
    <mergeCell ref="E45:P45"/>
    <mergeCell ref="E46:P46"/>
    <mergeCell ref="AF32:AH32"/>
    <mergeCell ref="C33:D33"/>
    <mergeCell ref="V35:AE35"/>
    <mergeCell ref="V36:AE36"/>
    <mergeCell ref="A40:K40"/>
    <mergeCell ref="A41:K41"/>
    <mergeCell ref="A27:D27"/>
    <mergeCell ref="F27:R27"/>
    <mergeCell ref="T27:V27"/>
    <mergeCell ref="B32:E32"/>
    <mergeCell ref="F32:G32"/>
    <mergeCell ref="AB32:AD32"/>
    <mergeCell ref="A25:D25"/>
    <mergeCell ref="F25:K25"/>
    <mergeCell ref="M25:R25"/>
    <mergeCell ref="T25:V25"/>
    <mergeCell ref="A26:D26"/>
    <mergeCell ref="F26:R26"/>
    <mergeCell ref="T26:V26"/>
    <mergeCell ref="T19:V19"/>
    <mergeCell ref="A20:D20"/>
    <mergeCell ref="F20:R20"/>
    <mergeCell ref="T20:V20"/>
    <mergeCell ref="A21:D21"/>
    <mergeCell ref="F21:R21"/>
    <mergeCell ref="T21:V21"/>
    <mergeCell ref="A14:O14"/>
    <mergeCell ref="A16:G16"/>
    <mergeCell ref="I16:O16"/>
    <mergeCell ref="A19:D19"/>
    <mergeCell ref="F19:K19"/>
    <mergeCell ref="M19:R19"/>
    <mergeCell ref="A7:AH7"/>
    <mergeCell ref="A8:AH8"/>
    <mergeCell ref="A9:AG9"/>
    <mergeCell ref="A10:AH10"/>
    <mergeCell ref="A12:G12"/>
    <mergeCell ref="I12:O12"/>
    <mergeCell ref="A1:AH1"/>
    <mergeCell ref="A2:AH2"/>
    <mergeCell ref="A3:AH3"/>
    <mergeCell ref="A4:AH4"/>
    <mergeCell ref="A5:AH5"/>
    <mergeCell ref="A6:A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2026-02-08T04:02:15Z</dcterms:created>
  <dcterms:modified xsi:type="dcterms:W3CDTF">2026-02-08T04:03:01Z</dcterms:modified>
</cp:coreProperties>
</file>